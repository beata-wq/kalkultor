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eknometpl.sharepoint.com/sites/Wyceny-LoftHouse/Shared Documents/"/>
    </mc:Choice>
  </mc:AlternateContent>
  <xr:revisionPtr revIDLastSave="36" documentId="8_{9E32E4D3-4D94-446F-BA20-1A16C5554DAC}" xr6:coauthVersionLast="47" xr6:coauthVersionMax="47" xr10:uidLastSave="{9A777A96-8821-49E5-8543-05057CF521E4}"/>
  <bookViews>
    <workbookView xWindow="-98" yWindow="-98" windowWidth="28996" windowHeight="15675" xr2:uid="{C4229F9C-97A9-445F-92F3-CCC0A67C220D}"/>
  </bookViews>
  <sheets>
    <sheet name="Kombinacje" sheetId="1" r:id="rId1"/>
    <sheet name="Kalkul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" i="2" l="1"/>
  <c r="H54" i="2"/>
  <c r="N50" i="2"/>
  <c r="H50" i="2"/>
  <c r="N49" i="2"/>
  <c r="H49" i="2"/>
  <c r="N48" i="2"/>
  <c r="H48" i="2"/>
  <c r="N47" i="2"/>
  <c r="H47" i="2"/>
  <c r="H41" i="2"/>
  <c r="N37" i="2"/>
  <c r="H37" i="2"/>
  <c r="H36" i="2"/>
  <c r="H35" i="2"/>
  <c r="N32" i="2"/>
  <c r="H32" i="2"/>
  <c r="N31" i="2"/>
  <c r="H31" i="2"/>
  <c r="N30" i="2"/>
  <c r="H30" i="2"/>
  <c r="N29" i="2"/>
  <c r="H29" i="2"/>
  <c r="N28" i="2"/>
  <c r="H28" i="2"/>
  <c r="N27" i="2"/>
  <c r="H27" i="2"/>
  <c r="N26" i="2"/>
  <c r="H26" i="2"/>
  <c r="N25" i="2"/>
  <c r="H25" i="2"/>
  <c r="N24" i="2"/>
  <c r="H24" i="2"/>
  <c r="N23" i="2"/>
  <c r="H23" i="2"/>
  <c r="N22" i="2"/>
  <c r="H22" i="2"/>
  <c r="N21" i="2"/>
  <c r="K17" i="2"/>
  <c r="K19" i="2" s="1"/>
  <c r="H19" i="2" s="1"/>
  <c r="N14" i="2"/>
  <c r="H14" i="2"/>
  <c r="K13" i="2"/>
  <c r="K9" i="2"/>
  <c r="N35" i="2" s="1"/>
  <c r="O2" i="2"/>
  <c r="A6" i="1"/>
  <c r="A7" i="1" s="1"/>
  <c r="A5" i="1"/>
  <c r="B5" i="1" s="1"/>
  <c r="K10" i="2" l="1"/>
  <c r="A8" i="1"/>
  <c r="B7" i="1"/>
  <c r="B6" i="1"/>
  <c r="N36" i="2" l="1"/>
  <c r="N10" i="2"/>
  <c r="A9" i="1"/>
  <c r="B8" i="1"/>
  <c r="K57" i="2" l="1"/>
  <c r="N57" i="2" s="1"/>
  <c r="N2" i="2" s="1"/>
  <c r="N41" i="2"/>
  <c r="N40" i="2"/>
  <c r="A10" i="1"/>
  <c r="B9" i="1"/>
  <c r="A11" i="1" l="1"/>
  <c r="B10" i="1"/>
  <c r="A12" i="1" l="1"/>
  <c r="B11" i="1"/>
  <c r="A13" i="1" l="1"/>
  <c r="B12" i="1"/>
  <c r="A14" i="1" l="1"/>
  <c r="B13" i="1"/>
  <c r="A15" i="1" l="1"/>
  <c r="B14" i="1"/>
  <c r="A16" i="1" l="1"/>
  <c r="B15" i="1"/>
  <c r="A17" i="1" l="1"/>
  <c r="B16" i="1"/>
  <c r="A18" i="1" l="1"/>
  <c r="B17" i="1"/>
  <c r="A19" i="1" l="1"/>
  <c r="B18" i="1"/>
  <c r="A20" i="1" l="1"/>
  <c r="B19" i="1"/>
  <c r="A21" i="1" l="1"/>
  <c r="B20" i="1"/>
  <c r="A22" i="1" l="1"/>
  <c r="B21" i="1"/>
  <c r="A23" i="1" l="1"/>
  <c r="B22" i="1"/>
  <c r="A24" i="1" l="1"/>
  <c r="B23" i="1"/>
  <c r="A25" i="1" l="1"/>
  <c r="B24" i="1"/>
  <c r="A26" i="1" l="1"/>
  <c r="B25" i="1"/>
  <c r="A27" i="1" l="1"/>
  <c r="B26" i="1"/>
  <c r="A28" i="1" l="1"/>
  <c r="B27" i="1"/>
  <c r="A29" i="1" l="1"/>
  <c r="B28" i="1"/>
  <c r="A30" i="1" l="1"/>
  <c r="B29" i="1"/>
  <c r="A31" i="1" l="1"/>
  <c r="B30" i="1"/>
  <c r="A32" i="1" l="1"/>
  <c r="B31" i="1"/>
  <c r="A33" i="1" l="1"/>
  <c r="B32" i="1"/>
  <c r="A34" i="1" l="1"/>
  <c r="B33" i="1"/>
  <c r="A35" i="1" l="1"/>
  <c r="B34" i="1"/>
  <c r="A36" i="1" l="1"/>
  <c r="B35" i="1"/>
  <c r="A37" i="1" l="1"/>
  <c r="B37" i="1" s="1"/>
  <c r="B3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<sst xmlns="http://schemas.openxmlformats.org/spreadsheetml/2006/main" count="304" uniqueCount="101">
  <si>
    <t>Dozwolone kobinacje</t>
  </si>
  <si>
    <t>na zawiasach</t>
  </si>
  <si>
    <t>obrotowe (pivot)</t>
  </si>
  <si>
    <t>przesuwne</t>
  </si>
  <si>
    <t>panel</t>
  </si>
  <si>
    <t>Drzwi szklane</t>
  </si>
  <si>
    <t>Podwójne drzwi na zawiasach</t>
  </si>
  <si>
    <t>Pojedyncze drzwi obrotowe</t>
  </si>
  <si>
    <t>Podwójne drzwi obrotowe</t>
  </si>
  <si>
    <t>Pojedyncze drzwi przesuwne - szyna</t>
  </si>
  <si>
    <t>Podwójne drzwi przesuwne - szyna</t>
  </si>
  <si>
    <t>Pojedyncze drzwi przesuwne - szyna stodołowa</t>
  </si>
  <si>
    <t>Podwójne drzwi przesuwne - szyna stodołowa</t>
  </si>
  <si>
    <t>Pojedyncze drzwi przesuwne - kieszeń</t>
  </si>
  <si>
    <t>Podwójne drzwi przesuwne - kieszeń</t>
  </si>
  <si>
    <t>Element stały/ przegroda</t>
  </si>
  <si>
    <t>Wymiary</t>
  </si>
  <si>
    <t>wysokość [mm]</t>
  </si>
  <si>
    <t>wymagane</t>
  </si>
  <si>
    <t>szerokość [mm]</t>
  </si>
  <si>
    <t>Liczba szyb</t>
  </si>
  <si>
    <t>jedna</t>
  </si>
  <si>
    <t>1 z X</t>
  </si>
  <si>
    <t>dwie</t>
  </si>
  <si>
    <t>trzy</t>
  </si>
  <si>
    <t>trzy styl nowoczesny</t>
  </si>
  <si>
    <t>cztery</t>
  </si>
  <si>
    <t>cztery asymetrycznie</t>
  </si>
  <si>
    <t>cztery z długimi panelami</t>
  </si>
  <si>
    <t>sześć</t>
  </si>
  <si>
    <t>sześć asymetrycznie</t>
  </si>
  <si>
    <t>osiem</t>
  </si>
  <si>
    <t>rama ofsetowa</t>
  </si>
  <si>
    <t>sześć z łukiem</t>
  </si>
  <si>
    <t>Typ szyby</t>
  </si>
  <si>
    <t>przeźroczysta</t>
  </si>
  <si>
    <t>ryflowana</t>
  </si>
  <si>
    <t>mleczna</t>
  </si>
  <si>
    <t>przyciemniana</t>
  </si>
  <si>
    <t>inna</t>
  </si>
  <si>
    <t>Typ profilu stalowego</t>
  </si>
  <si>
    <t>Slim</t>
  </si>
  <si>
    <t>Retro</t>
  </si>
  <si>
    <t>Kierunek drzwi</t>
  </si>
  <si>
    <t>lewy</t>
  </si>
  <si>
    <t>prawy</t>
  </si>
  <si>
    <t>Uchwyt/klamka</t>
  </si>
  <si>
    <t>240 mm kątownik</t>
  </si>
  <si>
    <t>240 mm pręt kwadratowy</t>
  </si>
  <si>
    <t>200 mm półkulisty</t>
  </si>
  <si>
    <t>klamka Corona Fokus</t>
  </si>
  <si>
    <t>klamka</t>
  </si>
  <si>
    <t>inny</t>
  </si>
  <si>
    <t>Kolor</t>
  </si>
  <si>
    <t>czarny</t>
  </si>
  <si>
    <t>paleta RAL</t>
  </si>
  <si>
    <t>Ilość</t>
  </si>
  <si>
    <t>[liczba]</t>
  </si>
  <si>
    <t>podstawa zł</t>
  </si>
  <si>
    <t>dodatek zł/m2</t>
  </si>
  <si>
    <t>min. szer.</t>
  </si>
  <si>
    <t>min. wys.</t>
  </si>
  <si>
    <t>maks. szer.</t>
  </si>
  <si>
    <t>maks. wys.</t>
  </si>
  <si>
    <t>bez wyceny</t>
  </si>
  <si>
    <t>Drzwi szklane pojedyncze</t>
  </si>
  <si>
    <t>CENA:</t>
  </si>
  <si>
    <t xml:space="preserve">https://lofthouse.store/product/drzwi-szklane/ </t>
  </si>
  <si>
    <t>Sklep</t>
  </si>
  <si>
    <t>Backend</t>
  </si>
  <si>
    <t>Obliczenia</t>
  </si>
  <si>
    <t>(widoczne)</t>
  </si>
  <si>
    <t>(dla każdych drzwi)</t>
  </si>
  <si>
    <t>(niewidoczne)</t>
  </si>
  <si>
    <t>mm</t>
  </si>
  <si>
    <t>m2</t>
  </si>
  <si>
    <t>PLN</t>
  </si>
  <si>
    <t>PLN/m2</t>
  </si>
  <si>
    <t>powierzchnia [m2]</t>
  </si>
  <si>
    <t>pow ponad min</t>
  </si>
  <si>
    <t>=</t>
  </si>
  <si>
    <t>wys min</t>
  </si>
  <si>
    <t>sze min</t>
  </si>
  <si>
    <t>pow min</t>
  </si>
  <si>
    <t>Cena</t>
  </si>
  <si>
    <t>cena min</t>
  </si>
  <si>
    <t>wys max</t>
  </si>
  <si>
    <t>sze max</t>
  </si>
  <si>
    <t>pow max</t>
  </si>
  <si>
    <t>cena max</t>
  </si>
  <si>
    <t>cena w widełkach</t>
  </si>
  <si>
    <t>(wspólne)</t>
  </si>
  <si>
    <t>+</t>
  </si>
  <si>
    <t>w cenie</t>
  </si>
  <si>
    <t>dodatek do m2</t>
  </si>
  <si>
    <t>wycena indywidualna</t>
  </si>
  <si>
    <t>x</t>
  </si>
  <si>
    <t>korekta</t>
  </si>
  <si>
    <t>-</t>
  </si>
  <si>
    <t>liczba [szt]</t>
  </si>
  <si>
    <t>W każdej grupie parametrów musi być tylko jedna jedynka - tutaj brak zabezpieczenia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</si>
</sst>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5" borderId="4" applyNumberFormat="0" applyAlignment="0" applyProtection="0"/>
    <xf numFmtId="0" fontId="3" fillId="6" borderId="5" applyNumberFormat="0" applyAlignment="0" applyProtection="0"/>
  </cellStyleXfs>
  <cellXfs count="50"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3" fontId="0" fillId="0" borderId="1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9" xfId="0" applyFont="1" applyFill="1" applyBorder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3" fontId="0" fillId="0" borderId="0" xfId="0" applyNumberFormat="1"/>
    <xf numFmtId="0" fontId="2" fillId="5" borderId="4" xfId="1" applyAlignment="1">
      <alignment horizontal="center"/>
    </xf>
    <xf numFmtId="4" fontId="0" fillId="0" borderId="0" xfId="0" applyNumberFormat="1"/>
    <xf numFmtId="4" fontId="3" fillId="6" borderId="5" xfId="2" applyNumberFormat="1"/>
    <xf numFmtId="0" fontId="2" fillId="5" borderId="4" xfId="1"/>
    <xf numFmtId="3" fontId="2" fillId="5" borderId="4" xfId="1" applyNumberFormat="1"/>
    <xf numFmtId="3" fontId="2" fillId="9" borderId="4" xfId="1" applyNumberFormat="1" applyFill="1"/>
    <xf numFmtId="4" fontId="3" fillId="9" borderId="5" xfId="2" applyNumberFormat="1" applyFill="1"/>
    <xf numFmtId="0" fontId="6" fillId="10" borderId="0" xfId="0" applyFont="1" applyFill="1"/>
    <xf numFmtId="3" fontId="6" fillId="10" borderId="0" xfId="0" applyNumberFormat="1" applyFont="1" applyFill="1"/>
    <xf numFmtId="0" fontId="2" fillId="9" borderId="4" xfId="1" applyFill="1"/>
    <xf numFmtId="3" fontId="0" fillId="10" borderId="0" xfId="0" applyNumberFormat="1" applyFill="1"/>
    <xf numFmtId="0" fontId="7" fillId="0" borderId="0" xfId="0" applyFont="1"/>
  </cellXfs>
  <cellStyles count="3">
    <cellStyle name="Dane wejściowe" xfId="1" builtinId="20"/>
    <cellStyle name="Dane wyjściowe" xfId="2" builtinId="21"/>
    <cellStyle name="Normalny" xfId="0" builtinId="0"/>
  </cellStyles>
  <dxfs count="5">
    <dxf>
      <fill>
        <patternFill>
          <bgColor theme="0" tint="-4.9989318521683403E-2"/>
        </patternFill>
      </fill>
    </dxf>
    <dxf>
      <font>
        <strike/>
        <color rgb="FFFF0000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39B7-C069-4364-9923-8647A4B659D0}">
  <dimension ref="A1:Q45"/>
  <sheetViews>
    <sheetView tabSelected="1" workbookViewId="0">
      <pane xSplit="6" ySplit="4" topLeftCell="G23" activePane="bottomRight" state="frozen"/>
      <selection pane="topRight" activeCell="E1" sqref="E1"/>
      <selection pane="bottomLeft" activeCell="A5" sqref="A5"/>
      <selection pane="bottomRight" activeCell="H50" sqref="H50"/>
    </sheetView>
  </sheetViews>
  <sheetFormatPr defaultRowHeight="14.25" x14ac:dyDescent="0.45"/>
  <cols>
    <col min="1" max="1" width="8.33203125" hidden="1" customWidth="1"/>
    <col min="2" max="2" width="7.1328125" hidden="1" customWidth="1"/>
    <col min="3" max="3" width="7.265625" hidden="1" customWidth="1"/>
    <col min="4" max="4" width="17.1328125" bestFit="1" customWidth="1"/>
    <col min="5" max="5" width="20.3984375" bestFit="1" customWidth="1"/>
    <col min="6" max="6" width="13.73046875" customWidth="1"/>
    <col min="7" max="17" width="10.59765625" customWidth="1"/>
    <col min="19" max="23" width="5.73046875" customWidth="1"/>
    <col min="24" max="24" width="7.1328125" customWidth="1"/>
    <col min="25" max="29" width="5.1328125" customWidth="1"/>
  </cols>
  <sheetData>
    <row r="1" spans="1:17" x14ac:dyDescent="0.45">
      <c r="D1" s="1" t="s">
        <v>0</v>
      </c>
    </row>
    <row r="2" spans="1:17" x14ac:dyDescent="0.45">
      <c r="G2" s="13" t="s">
        <v>1</v>
      </c>
      <c r="H2" s="13"/>
      <c r="I2" s="14" t="s">
        <v>2</v>
      </c>
      <c r="J2" s="14"/>
      <c r="K2" s="13" t="s">
        <v>3</v>
      </c>
      <c r="L2" s="13"/>
      <c r="M2" s="13"/>
      <c r="N2" s="13"/>
      <c r="O2" s="13"/>
      <c r="P2" s="13"/>
      <c r="Q2" s="2" t="s">
        <v>4</v>
      </c>
    </row>
    <row r="3" spans="1:17" s="3" customFormat="1" ht="40.5" customHeight="1" x14ac:dyDescent="0.45">
      <c r="G3" s="4" t="e" vm="1">
        <v>#VALUE!</v>
      </c>
      <c r="H3" s="4" t="e" vm="2">
        <v>#VALUE!</v>
      </c>
      <c r="I3" s="4" t="e" vm="3">
        <v>#VALUE!</v>
      </c>
      <c r="J3" s="4" t="e" vm="4">
        <v>#VALUE!</v>
      </c>
      <c r="K3" s="4" t="e" vm="5">
        <v>#VALUE!</v>
      </c>
      <c r="L3" s="4" t="e" vm="6">
        <v>#VALUE!</v>
      </c>
      <c r="M3" s="4" t="e" vm="7">
        <v>#VALUE!</v>
      </c>
      <c r="N3" s="4" t="e" vm="8">
        <v>#VALUE!</v>
      </c>
      <c r="O3" s="4" t="e" vm="9">
        <v>#VALUE!</v>
      </c>
      <c r="P3" s="4" t="e" vm="10">
        <v>#VALUE!</v>
      </c>
      <c r="Q3" s="4" t="e" vm="11">
        <v>#VALUE!</v>
      </c>
    </row>
    <row r="4" spans="1:17" s="5" customFormat="1" ht="71.25" x14ac:dyDescent="0.45"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11</v>
      </c>
      <c r="N4" s="6" t="s">
        <v>12</v>
      </c>
      <c r="O4" s="6" t="s">
        <v>13</v>
      </c>
      <c r="P4" s="6" t="s">
        <v>14</v>
      </c>
      <c r="Q4" s="6" t="s">
        <v>15</v>
      </c>
    </row>
    <row r="5" spans="1:17" x14ac:dyDescent="0.45">
      <c r="A5">
        <f>IF(D5&lt;&gt;D4,A4+1,A4)</f>
        <v>1</v>
      </c>
      <c r="B5">
        <f>IF(A5&lt;&gt;A4,1,B4+1)</f>
        <v>1</v>
      </c>
      <c r="C5">
        <v>1</v>
      </c>
      <c r="D5" s="7" t="s">
        <v>16</v>
      </c>
      <c r="E5" s="7" t="s">
        <v>17</v>
      </c>
      <c r="F5" s="7" t="s">
        <v>18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</row>
    <row r="6" spans="1:17" x14ac:dyDescent="0.45">
      <c r="A6">
        <f t="shared" ref="A6:A37" si="0">IF(D6&lt;&gt;D5,A5+1,A5)</f>
        <v>1</v>
      </c>
      <c r="B6">
        <f t="shared" ref="B6:B37" si="1">IF(A6&lt;&gt;A5,1,B5+1)</f>
        <v>2</v>
      </c>
      <c r="C6">
        <v>1</v>
      </c>
      <c r="D6" s="7" t="s">
        <v>16</v>
      </c>
      <c r="E6" s="7" t="s">
        <v>19</v>
      </c>
      <c r="F6" s="7" t="s">
        <v>18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</row>
    <row r="7" spans="1:17" x14ac:dyDescent="0.45">
      <c r="A7">
        <f t="shared" si="0"/>
        <v>2</v>
      </c>
      <c r="B7">
        <f t="shared" si="1"/>
        <v>1</v>
      </c>
      <c r="D7" s="7" t="s">
        <v>20</v>
      </c>
      <c r="E7" s="7" t="s">
        <v>21</v>
      </c>
      <c r="F7" s="7" t="s">
        <v>22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</row>
    <row r="8" spans="1:17" x14ac:dyDescent="0.45">
      <c r="A8">
        <f t="shared" si="0"/>
        <v>2</v>
      </c>
      <c r="B8">
        <f t="shared" si="1"/>
        <v>2</v>
      </c>
      <c r="D8" s="7" t="s">
        <v>20</v>
      </c>
      <c r="E8" s="7" t="s">
        <v>23</v>
      </c>
      <c r="F8" s="7" t="s">
        <v>22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</row>
    <row r="9" spans="1:17" x14ac:dyDescent="0.45">
      <c r="A9">
        <f t="shared" si="0"/>
        <v>2</v>
      </c>
      <c r="B9">
        <f t="shared" si="1"/>
        <v>3</v>
      </c>
      <c r="D9" s="7" t="s">
        <v>20</v>
      </c>
      <c r="E9" s="7" t="s">
        <v>24</v>
      </c>
      <c r="F9" s="7" t="s">
        <v>22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</row>
    <row r="10" spans="1:17" x14ac:dyDescent="0.45">
      <c r="A10">
        <f t="shared" si="0"/>
        <v>2</v>
      </c>
      <c r="B10">
        <f t="shared" si="1"/>
        <v>4</v>
      </c>
      <c r="D10" s="7" t="s">
        <v>20</v>
      </c>
      <c r="E10" s="7" t="s">
        <v>25</v>
      </c>
      <c r="F10" s="7" t="s">
        <v>22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</row>
    <row r="11" spans="1:17" x14ac:dyDescent="0.45">
      <c r="A11">
        <f t="shared" si="0"/>
        <v>2</v>
      </c>
      <c r="B11">
        <f t="shared" si="1"/>
        <v>5</v>
      </c>
      <c r="D11" s="7" t="s">
        <v>20</v>
      </c>
      <c r="E11" s="7" t="s">
        <v>26</v>
      </c>
      <c r="F11" s="7" t="s">
        <v>22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</row>
    <row r="12" spans="1:17" x14ac:dyDescent="0.45">
      <c r="A12">
        <f t="shared" si="0"/>
        <v>2</v>
      </c>
      <c r="B12">
        <f t="shared" si="1"/>
        <v>6</v>
      </c>
      <c r="D12" s="7" t="s">
        <v>20</v>
      </c>
      <c r="E12" s="7" t="s">
        <v>27</v>
      </c>
      <c r="F12" s="7" t="s">
        <v>22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</row>
    <row r="13" spans="1:17" x14ac:dyDescent="0.45">
      <c r="A13">
        <f t="shared" si="0"/>
        <v>2</v>
      </c>
      <c r="B13">
        <f t="shared" si="1"/>
        <v>7</v>
      </c>
      <c r="D13" s="7" t="s">
        <v>20</v>
      </c>
      <c r="E13" s="7" t="s">
        <v>28</v>
      </c>
      <c r="F13" s="7" t="s">
        <v>22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</row>
    <row r="14" spans="1:17" x14ac:dyDescent="0.45">
      <c r="A14">
        <f t="shared" si="0"/>
        <v>2</v>
      </c>
      <c r="B14">
        <f t="shared" si="1"/>
        <v>8</v>
      </c>
      <c r="D14" s="7" t="s">
        <v>20</v>
      </c>
      <c r="E14" s="7" t="s">
        <v>29</v>
      </c>
      <c r="F14" s="7" t="s">
        <v>22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</row>
    <row r="15" spans="1:17" x14ac:dyDescent="0.45">
      <c r="A15">
        <f t="shared" si="0"/>
        <v>2</v>
      </c>
      <c r="B15">
        <f t="shared" si="1"/>
        <v>9</v>
      </c>
      <c r="D15" s="7" t="s">
        <v>20</v>
      </c>
      <c r="E15" s="7" t="s">
        <v>30</v>
      </c>
      <c r="F15" s="7" t="s">
        <v>22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</row>
    <row r="16" spans="1:17" x14ac:dyDescent="0.45">
      <c r="A16">
        <f t="shared" si="0"/>
        <v>2</v>
      </c>
      <c r="B16">
        <f t="shared" si="1"/>
        <v>10</v>
      </c>
      <c r="D16" s="7" t="s">
        <v>20</v>
      </c>
      <c r="E16" s="7" t="s">
        <v>31</v>
      </c>
      <c r="F16" s="7" t="s">
        <v>22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</row>
    <row r="17" spans="1:17" x14ac:dyDescent="0.45">
      <c r="A17">
        <f t="shared" si="0"/>
        <v>2</v>
      </c>
      <c r="B17">
        <f t="shared" si="1"/>
        <v>11</v>
      </c>
      <c r="D17" s="7" t="s">
        <v>20</v>
      </c>
      <c r="E17" s="7" t="s">
        <v>32</v>
      </c>
      <c r="F17" s="7" t="s">
        <v>22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</row>
    <row r="18" spans="1:17" x14ac:dyDescent="0.45">
      <c r="A18">
        <f t="shared" si="0"/>
        <v>2</v>
      </c>
      <c r="B18">
        <f t="shared" si="1"/>
        <v>12</v>
      </c>
      <c r="D18" s="7" t="s">
        <v>20</v>
      </c>
      <c r="E18" s="7" t="s">
        <v>33</v>
      </c>
      <c r="F18" s="7" t="s">
        <v>22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</row>
    <row r="19" spans="1:17" x14ac:dyDescent="0.45">
      <c r="A19">
        <f t="shared" si="0"/>
        <v>3</v>
      </c>
      <c r="B19">
        <f t="shared" si="1"/>
        <v>1</v>
      </c>
      <c r="C19">
        <v>1</v>
      </c>
      <c r="D19" s="7" t="s">
        <v>34</v>
      </c>
      <c r="E19" s="7" t="s">
        <v>35</v>
      </c>
      <c r="F19" s="7" t="s">
        <v>22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</row>
    <row r="20" spans="1:17" x14ac:dyDescent="0.45">
      <c r="A20">
        <f t="shared" si="0"/>
        <v>3</v>
      </c>
      <c r="B20">
        <f t="shared" si="1"/>
        <v>2</v>
      </c>
      <c r="C20">
        <v>1</v>
      </c>
      <c r="D20" s="7" t="s">
        <v>34</v>
      </c>
      <c r="E20" s="7" t="s">
        <v>36</v>
      </c>
      <c r="F20" s="7" t="s">
        <v>22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</row>
    <row r="21" spans="1:17" x14ac:dyDescent="0.45">
      <c r="A21">
        <f t="shared" si="0"/>
        <v>3</v>
      </c>
      <c r="B21">
        <f t="shared" si="1"/>
        <v>3</v>
      </c>
      <c r="C21">
        <v>1</v>
      </c>
      <c r="D21" s="7" t="s">
        <v>34</v>
      </c>
      <c r="E21" s="7" t="s">
        <v>37</v>
      </c>
      <c r="F21" s="7" t="s">
        <v>22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</row>
    <row r="22" spans="1:17" x14ac:dyDescent="0.45">
      <c r="A22">
        <f t="shared" si="0"/>
        <v>3</v>
      </c>
      <c r="B22">
        <f t="shared" si="1"/>
        <v>4</v>
      </c>
      <c r="C22">
        <v>1</v>
      </c>
      <c r="D22" s="7" t="s">
        <v>34</v>
      </c>
      <c r="E22" s="7" t="s">
        <v>38</v>
      </c>
      <c r="F22" s="7" t="s">
        <v>22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</row>
    <row r="23" spans="1:17" x14ac:dyDescent="0.45">
      <c r="A23">
        <f t="shared" si="0"/>
        <v>3</v>
      </c>
      <c r="B23">
        <f>IF(A23&lt;&gt;A22,1,B22+1)</f>
        <v>5</v>
      </c>
      <c r="C23">
        <v>1</v>
      </c>
      <c r="D23" s="7" t="s">
        <v>34</v>
      </c>
      <c r="E23" s="7" t="s">
        <v>39</v>
      </c>
      <c r="F23" s="7" t="s">
        <v>22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</row>
    <row r="24" spans="1:17" x14ac:dyDescent="0.45">
      <c r="A24">
        <f t="shared" si="0"/>
        <v>4</v>
      </c>
      <c r="B24">
        <f t="shared" si="1"/>
        <v>1</v>
      </c>
      <c r="D24" s="7" t="s">
        <v>40</v>
      </c>
      <c r="E24" s="7" t="s">
        <v>41</v>
      </c>
      <c r="F24" s="7" t="s">
        <v>22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</row>
    <row r="25" spans="1:17" x14ac:dyDescent="0.45">
      <c r="A25">
        <f t="shared" si="0"/>
        <v>4</v>
      </c>
      <c r="B25">
        <f t="shared" si="1"/>
        <v>2</v>
      </c>
      <c r="D25" s="7" t="s">
        <v>40</v>
      </c>
      <c r="E25" s="7" t="s">
        <v>42</v>
      </c>
      <c r="F25" s="7" t="s">
        <v>22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</row>
    <row r="26" spans="1:17" x14ac:dyDescent="0.45">
      <c r="A26">
        <f t="shared" si="0"/>
        <v>5</v>
      </c>
      <c r="B26">
        <f t="shared" si="1"/>
        <v>1</v>
      </c>
      <c r="C26">
        <v>1</v>
      </c>
      <c r="D26" s="7" t="s">
        <v>43</v>
      </c>
      <c r="E26" s="7" t="s">
        <v>44</v>
      </c>
      <c r="F26" s="7" t="s">
        <v>22</v>
      </c>
      <c r="G26" s="4">
        <v>1</v>
      </c>
      <c r="H26" s="4"/>
      <c r="I26" s="4">
        <v>1</v>
      </c>
      <c r="J26" s="4"/>
      <c r="K26" s="4">
        <v>1</v>
      </c>
      <c r="L26" s="4"/>
      <c r="M26" s="4">
        <v>1</v>
      </c>
      <c r="N26" s="4"/>
      <c r="O26" s="4">
        <v>1</v>
      </c>
      <c r="P26" s="4"/>
      <c r="Q26" s="4"/>
    </row>
    <row r="27" spans="1:17" x14ac:dyDescent="0.45">
      <c r="A27">
        <f t="shared" si="0"/>
        <v>5</v>
      </c>
      <c r="B27">
        <f t="shared" si="1"/>
        <v>2</v>
      </c>
      <c r="C27">
        <v>1</v>
      </c>
      <c r="D27" s="7" t="s">
        <v>43</v>
      </c>
      <c r="E27" s="7" t="s">
        <v>45</v>
      </c>
      <c r="F27" s="7" t="s">
        <v>22</v>
      </c>
      <c r="G27" s="4">
        <v>1</v>
      </c>
      <c r="H27" s="4"/>
      <c r="I27" s="4">
        <v>1</v>
      </c>
      <c r="J27" s="4"/>
      <c r="K27" s="4">
        <v>1</v>
      </c>
      <c r="L27" s="4"/>
      <c r="M27" s="4">
        <v>1</v>
      </c>
      <c r="N27" s="4"/>
      <c r="O27" s="4">
        <v>1</v>
      </c>
      <c r="P27" s="4"/>
      <c r="Q27" s="4"/>
    </row>
    <row r="28" spans="1:17" x14ac:dyDescent="0.45">
      <c r="A28">
        <f t="shared" si="0"/>
        <v>6</v>
      </c>
      <c r="B28">
        <f t="shared" si="1"/>
        <v>1</v>
      </c>
      <c r="D28" s="7" t="s">
        <v>46</v>
      </c>
      <c r="E28" s="7" t="s">
        <v>47</v>
      </c>
      <c r="F28" s="7" t="s">
        <v>22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/>
      <c r="Q28" s="4"/>
    </row>
    <row r="29" spans="1:17" x14ac:dyDescent="0.45">
      <c r="A29">
        <f t="shared" si="0"/>
        <v>6</v>
      </c>
      <c r="B29">
        <f t="shared" si="1"/>
        <v>2</v>
      </c>
      <c r="D29" s="7" t="s">
        <v>46</v>
      </c>
      <c r="E29" s="7" t="s">
        <v>48</v>
      </c>
      <c r="F29" s="7" t="s">
        <v>22</v>
      </c>
      <c r="G29" s="4">
        <v>1</v>
      </c>
      <c r="H29" s="4">
        <v>1</v>
      </c>
      <c r="I29" s="4">
        <v>1</v>
      </c>
      <c r="J29" s="4">
        <v>1</v>
      </c>
      <c r="K29" s="4"/>
      <c r="L29" s="4"/>
      <c r="M29" s="4"/>
      <c r="N29" s="4"/>
      <c r="O29" s="4"/>
      <c r="P29" s="4"/>
      <c r="Q29" s="4"/>
    </row>
    <row r="30" spans="1:17" x14ac:dyDescent="0.45">
      <c r="A30">
        <f t="shared" si="0"/>
        <v>6</v>
      </c>
      <c r="B30">
        <f t="shared" si="1"/>
        <v>3</v>
      </c>
      <c r="D30" s="7" t="s">
        <v>46</v>
      </c>
      <c r="E30" s="7" t="s">
        <v>49</v>
      </c>
      <c r="F30" s="7" t="s">
        <v>22</v>
      </c>
      <c r="G30" s="4">
        <v>1</v>
      </c>
      <c r="H30" s="4">
        <v>1</v>
      </c>
      <c r="I30" s="4">
        <v>1</v>
      </c>
      <c r="J30" s="4">
        <v>1</v>
      </c>
      <c r="K30" s="4"/>
      <c r="L30" s="4"/>
      <c r="M30" s="4"/>
      <c r="N30" s="4"/>
      <c r="O30" s="4"/>
      <c r="P30" s="4"/>
      <c r="Q30" s="4"/>
    </row>
    <row r="31" spans="1:17" x14ac:dyDescent="0.45">
      <c r="A31">
        <f t="shared" si="0"/>
        <v>6</v>
      </c>
      <c r="B31">
        <f t="shared" si="1"/>
        <v>4</v>
      </c>
      <c r="D31" s="7" t="s">
        <v>46</v>
      </c>
      <c r="E31" s="7" t="s">
        <v>50</v>
      </c>
      <c r="F31" s="7" t="s">
        <v>22</v>
      </c>
      <c r="G31" s="4">
        <v>1</v>
      </c>
      <c r="H31" s="4">
        <v>1</v>
      </c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45">
      <c r="A32">
        <f t="shared" si="0"/>
        <v>6</v>
      </c>
      <c r="B32">
        <f t="shared" si="1"/>
        <v>5</v>
      </c>
      <c r="D32" s="7" t="s">
        <v>46</v>
      </c>
      <c r="E32" s="7" t="s">
        <v>51</v>
      </c>
      <c r="F32" s="7" t="s">
        <v>22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/>
    </row>
    <row r="33" spans="1:17" x14ac:dyDescent="0.45">
      <c r="A33">
        <f t="shared" si="0"/>
        <v>6</v>
      </c>
      <c r="B33">
        <f t="shared" si="1"/>
        <v>6</v>
      </c>
      <c r="D33" s="7" t="s">
        <v>46</v>
      </c>
      <c r="E33" s="7" t="s">
        <v>52</v>
      </c>
      <c r="F33" s="7" t="s">
        <v>22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/>
    </row>
    <row r="34" spans="1:17" x14ac:dyDescent="0.45">
      <c r="A34">
        <f t="shared" si="0"/>
        <v>7</v>
      </c>
      <c r="B34">
        <f t="shared" si="1"/>
        <v>1</v>
      </c>
      <c r="C34">
        <v>1</v>
      </c>
      <c r="D34" s="7" t="s">
        <v>53</v>
      </c>
      <c r="E34" s="7" t="s">
        <v>54</v>
      </c>
      <c r="F34" s="7" t="s">
        <v>22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</row>
    <row r="35" spans="1:17" x14ac:dyDescent="0.45">
      <c r="A35">
        <f t="shared" si="0"/>
        <v>7</v>
      </c>
      <c r="B35">
        <f t="shared" si="1"/>
        <v>2</v>
      </c>
      <c r="C35">
        <v>1</v>
      </c>
      <c r="D35" s="7" t="s">
        <v>53</v>
      </c>
      <c r="E35" s="7" t="s">
        <v>55</v>
      </c>
      <c r="F35" s="7" t="s">
        <v>22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</row>
    <row r="36" spans="1:17" x14ac:dyDescent="0.45">
      <c r="A36">
        <f t="shared" si="0"/>
        <v>7</v>
      </c>
      <c r="B36">
        <f t="shared" si="1"/>
        <v>3</v>
      </c>
      <c r="C36">
        <v>1</v>
      </c>
      <c r="D36" s="7" t="s">
        <v>53</v>
      </c>
      <c r="E36" s="7" t="s">
        <v>52</v>
      </c>
      <c r="F36" s="7" t="s">
        <v>22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</row>
    <row r="37" spans="1:17" x14ac:dyDescent="0.45">
      <c r="A37">
        <f t="shared" si="0"/>
        <v>8</v>
      </c>
      <c r="B37">
        <f t="shared" si="1"/>
        <v>1</v>
      </c>
      <c r="D37" s="7" t="s">
        <v>56</v>
      </c>
      <c r="E37" s="7" t="s">
        <v>57</v>
      </c>
      <c r="F37" s="7" t="s">
        <v>18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</row>
    <row r="39" spans="1:17" x14ac:dyDescent="0.45">
      <c r="E39" s="15" t="s">
        <v>41</v>
      </c>
      <c r="F39" s="9" t="s">
        <v>58</v>
      </c>
      <c r="G39" s="10">
        <v>3115</v>
      </c>
      <c r="H39" s="11">
        <v>4530</v>
      </c>
      <c r="I39" s="12">
        <v>3115</v>
      </c>
      <c r="J39" s="12">
        <v>4530</v>
      </c>
      <c r="K39" s="12">
        <v>4530</v>
      </c>
      <c r="L39" s="11" t="s">
        <v>64</v>
      </c>
      <c r="M39" s="12">
        <v>3115</v>
      </c>
      <c r="N39" s="11" t="s">
        <v>64</v>
      </c>
      <c r="O39" s="12">
        <v>3115</v>
      </c>
      <c r="P39" s="11" t="s">
        <v>64</v>
      </c>
      <c r="Q39" s="11" t="s">
        <v>64</v>
      </c>
    </row>
    <row r="40" spans="1:17" x14ac:dyDescent="0.45">
      <c r="E40" s="16"/>
      <c r="F40" s="9" t="s">
        <v>59</v>
      </c>
      <c r="G40" s="10">
        <v>1314.5038167938931</v>
      </c>
      <c r="H40" s="10">
        <v>1529.1479820627799</v>
      </c>
      <c r="I40" s="12">
        <v>1314.5038167938931</v>
      </c>
      <c r="J40" s="12">
        <v>1529.1479820627799</v>
      </c>
      <c r="K40" s="12">
        <v>1529.1479820627799</v>
      </c>
      <c r="L40" s="11" t="s">
        <v>64</v>
      </c>
      <c r="M40" s="12">
        <v>1314.5038167938931</v>
      </c>
      <c r="N40" s="11" t="s">
        <v>64</v>
      </c>
      <c r="O40" s="12">
        <v>1314.5038167938931</v>
      </c>
      <c r="P40" s="11" t="s">
        <v>64</v>
      </c>
      <c r="Q40" s="11" t="s">
        <v>64</v>
      </c>
    </row>
    <row r="42" spans="1:17" x14ac:dyDescent="0.45">
      <c r="F42" s="7" t="s">
        <v>60</v>
      </c>
      <c r="G42" s="7">
        <v>700</v>
      </c>
      <c r="H42" s="7">
        <v>1100</v>
      </c>
      <c r="I42" s="8">
        <v>700</v>
      </c>
      <c r="J42" s="8">
        <v>1100</v>
      </c>
      <c r="K42" s="8">
        <v>1100</v>
      </c>
      <c r="L42" s="8">
        <v>1100</v>
      </c>
      <c r="M42" s="8">
        <v>700</v>
      </c>
      <c r="N42" s="8">
        <v>1100</v>
      </c>
      <c r="O42" s="8">
        <v>700</v>
      </c>
      <c r="P42" s="8">
        <v>1100</v>
      </c>
      <c r="Q42" s="8">
        <v>700</v>
      </c>
    </row>
    <row r="43" spans="1:17" x14ac:dyDescent="0.45">
      <c r="F43" s="7" t="s">
        <v>61</v>
      </c>
      <c r="G43" s="7">
        <v>1900</v>
      </c>
      <c r="H43" s="7">
        <v>1900</v>
      </c>
      <c r="I43" s="8">
        <v>1900</v>
      </c>
      <c r="J43" s="8">
        <v>1900</v>
      </c>
      <c r="K43" s="8">
        <v>1900</v>
      </c>
      <c r="L43" s="8">
        <v>1900</v>
      </c>
      <c r="M43" s="8">
        <v>1900</v>
      </c>
      <c r="N43" s="8">
        <v>1900</v>
      </c>
      <c r="O43" s="8">
        <v>1900</v>
      </c>
      <c r="P43" s="8">
        <v>1900</v>
      </c>
      <c r="Q43" s="8">
        <v>1900</v>
      </c>
    </row>
    <row r="44" spans="1:17" x14ac:dyDescent="0.45">
      <c r="F44" s="7" t="s">
        <v>62</v>
      </c>
      <c r="G44" s="7">
        <v>1100</v>
      </c>
      <c r="H44" s="7">
        <v>1800</v>
      </c>
      <c r="I44" s="8">
        <v>1100</v>
      </c>
      <c r="J44" s="8">
        <v>1800</v>
      </c>
      <c r="K44" s="8">
        <v>1800</v>
      </c>
      <c r="L44" s="8">
        <v>1800</v>
      </c>
      <c r="M44" s="8">
        <v>1100</v>
      </c>
      <c r="N44" s="8">
        <v>1800</v>
      </c>
      <c r="O44" s="8">
        <v>1100</v>
      </c>
      <c r="P44" s="8">
        <v>1800</v>
      </c>
      <c r="Q44" s="8">
        <v>1100</v>
      </c>
    </row>
    <row r="45" spans="1:17" x14ac:dyDescent="0.45">
      <c r="F45" s="7" t="s">
        <v>63</v>
      </c>
      <c r="G45" s="7">
        <v>2400</v>
      </c>
      <c r="H45" s="7">
        <v>2400</v>
      </c>
      <c r="I45" s="8">
        <v>2400</v>
      </c>
      <c r="J45" s="8">
        <v>2400</v>
      </c>
      <c r="K45" s="8">
        <v>2400</v>
      </c>
      <c r="L45" s="8">
        <v>2400</v>
      </c>
      <c r="M45" s="8">
        <v>2400</v>
      </c>
      <c r="N45" s="8">
        <v>2400</v>
      </c>
      <c r="O45" s="8">
        <v>2400</v>
      </c>
      <c r="P45" s="8">
        <v>2400</v>
      </c>
      <c r="Q45" s="8">
        <v>2400</v>
      </c>
    </row>
  </sheetData>
  <mergeCells count="4">
    <mergeCell ref="G2:H2"/>
    <mergeCell ref="I2:J2"/>
    <mergeCell ref="K2:P2"/>
    <mergeCell ref="E39:E40"/>
  </mergeCells>
  <conditionalFormatting sqref="D39:M39 D40 F40:M40 N39:Q40">
    <cfRule type="expression" dxfId="4" priority="3">
      <formula>$C39=1</formula>
    </cfRule>
  </conditionalFormatting>
  <conditionalFormatting sqref="D5:Q38">
    <cfRule type="expression" dxfId="3" priority="1">
      <formula>$C5=1</formula>
    </cfRule>
  </conditionalFormatting>
  <conditionalFormatting sqref="D41:Q46">
    <cfRule type="expression" dxfId="2" priority="2">
      <formula>$C41=1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E556-820A-461D-865D-E2E2FD852C68}">
  <dimension ref="A1:P60"/>
  <sheetViews>
    <sheetView showGridLines="0" workbookViewId="0">
      <pane ySplit="5" topLeftCell="A18" activePane="bottomLeft" state="frozen"/>
      <selection pane="bottomLeft" activeCell="U35" sqref="U35"/>
    </sheetView>
  </sheetViews>
  <sheetFormatPr defaultRowHeight="14.25" x14ac:dyDescent="0.45"/>
  <cols>
    <col min="1" max="1" width="1.73046875" customWidth="1"/>
    <col min="2" max="2" width="23.3984375" customWidth="1"/>
    <col min="3" max="3" width="22.86328125" customWidth="1"/>
    <col min="4" max="4" width="1.59765625" customWidth="1"/>
    <col min="5" max="5" width="9.3984375" style="3" customWidth="1"/>
    <col min="6" max="7" width="1.73046875" customWidth="1"/>
    <col min="8" max="8" width="12.265625" customWidth="1"/>
    <col min="9" max="10" width="1.73046875" customWidth="1"/>
    <col min="11" max="11" width="9.59765625" bestFit="1" customWidth="1"/>
    <col min="12" max="12" width="7" bestFit="1" customWidth="1"/>
    <col min="13" max="13" width="2.86328125" style="3" customWidth="1"/>
    <col min="15" max="15" width="18" customWidth="1"/>
    <col min="16" max="16" width="1.73046875" customWidth="1"/>
    <col min="17" max="17" width="3.86328125" customWidth="1"/>
  </cols>
  <sheetData>
    <row r="1" spans="1:16" ht="5.25" customHeight="1" thickBot="1" x14ac:dyDescent="0.5"/>
    <row r="2" spans="1:16" s="23" customFormat="1" ht="26.25" customHeight="1" thickBot="1" x14ac:dyDescent="0.5">
      <c r="A2" s="17"/>
      <c r="B2" s="18" t="s">
        <v>65</v>
      </c>
      <c r="C2" s="19"/>
      <c r="D2" s="19"/>
      <c r="E2" s="20"/>
      <c r="F2" s="19"/>
      <c r="G2" s="19"/>
      <c r="H2" s="19"/>
      <c r="I2" s="19"/>
      <c r="J2" s="19"/>
      <c r="K2" s="19"/>
      <c r="L2" s="19" t="s">
        <v>66</v>
      </c>
      <c r="M2" s="20"/>
      <c r="N2" s="21">
        <f>ROUND(N57,0)</f>
        <v>4551</v>
      </c>
      <c r="O2" s="19" t="str">
        <f>IF(SUM(E38,E51,E55)&gt;0,"Uwaga: wycena indywidualna!","PLN za zestaw")</f>
        <v>PLN za zestaw</v>
      </c>
      <c r="P2" s="22"/>
    </row>
    <row r="3" spans="1:16" x14ac:dyDescent="0.45">
      <c r="B3" t="s">
        <v>67</v>
      </c>
    </row>
    <row r="4" spans="1:16" x14ac:dyDescent="0.45">
      <c r="D4" s="24"/>
      <c r="E4" s="25" t="s">
        <v>68</v>
      </c>
      <c r="F4" s="26"/>
      <c r="G4" s="27"/>
      <c r="H4" s="28" t="s">
        <v>69</v>
      </c>
      <c r="I4" s="27"/>
      <c r="J4" s="29"/>
      <c r="K4" s="30" t="s">
        <v>70</v>
      </c>
      <c r="L4" s="31"/>
      <c r="M4" s="32"/>
      <c r="N4" s="31"/>
      <c r="O4" s="31"/>
      <c r="P4" s="31"/>
    </row>
    <row r="5" spans="1:16" x14ac:dyDescent="0.45">
      <c r="D5" s="24"/>
      <c r="E5" s="33" t="s">
        <v>71</v>
      </c>
      <c r="F5" s="34"/>
      <c r="G5" s="35"/>
      <c r="H5" s="36" t="s">
        <v>72</v>
      </c>
      <c r="I5" s="35"/>
      <c r="J5" s="31"/>
      <c r="K5" s="32" t="s">
        <v>73</v>
      </c>
      <c r="L5" s="31"/>
      <c r="M5" s="32"/>
      <c r="N5" s="31"/>
      <c r="O5" s="31"/>
      <c r="P5" s="31"/>
    </row>
    <row r="6" spans="1:16" x14ac:dyDescent="0.45">
      <c r="D6" s="24"/>
      <c r="F6" s="34"/>
      <c r="G6" s="35"/>
      <c r="I6" s="35"/>
      <c r="J6" s="31"/>
      <c r="N6" s="37"/>
      <c r="P6" s="31"/>
    </row>
    <row r="7" spans="1:16" x14ac:dyDescent="0.45">
      <c r="B7" t="s">
        <v>16</v>
      </c>
      <c r="C7" t="s">
        <v>17</v>
      </c>
      <c r="D7" s="24"/>
      <c r="E7" s="38">
        <v>1900</v>
      </c>
      <c r="F7" s="34"/>
      <c r="G7" s="35"/>
      <c r="I7" s="35"/>
      <c r="J7" s="31"/>
      <c r="N7" s="37"/>
      <c r="P7" s="31"/>
    </row>
    <row r="8" spans="1:16" x14ac:dyDescent="0.45">
      <c r="B8" t="s">
        <v>16</v>
      </c>
      <c r="C8" t="s">
        <v>19</v>
      </c>
      <c r="D8" s="24"/>
      <c r="E8" s="38">
        <v>700</v>
      </c>
      <c r="F8" s="34"/>
      <c r="G8" s="35"/>
      <c r="I8" s="35"/>
      <c r="J8" s="31"/>
      <c r="N8" s="37"/>
      <c r="P8" s="31"/>
    </row>
    <row r="9" spans="1:16" x14ac:dyDescent="0.45">
      <c r="B9" t="s">
        <v>16</v>
      </c>
      <c r="C9" t="s">
        <v>78</v>
      </c>
      <c r="D9" s="24"/>
      <c r="F9" s="34"/>
      <c r="G9" s="35"/>
      <c r="I9" s="35"/>
      <c r="J9" s="31"/>
      <c r="K9" s="40">
        <f>ROUND(E7*E8/1000000,2)</f>
        <v>1.33</v>
      </c>
      <c r="L9" t="s">
        <v>75</v>
      </c>
      <c r="N9" s="37"/>
      <c r="P9" s="31"/>
    </row>
    <row r="10" spans="1:16" x14ac:dyDescent="0.45">
      <c r="B10" t="s">
        <v>16</v>
      </c>
      <c r="C10" t="s">
        <v>79</v>
      </c>
      <c r="D10" s="24"/>
      <c r="F10" s="34"/>
      <c r="G10" s="35"/>
      <c r="I10" s="35"/>
      <c r="J10" s="31"/>
      <c r="K10" s="40">
        <f>K9-K13</f>
        <v>0.58000000000000007</v>
      </c>
      <c r="L10" t="s">
        <v>75</v>
      </c>
      <c r="M10" s="3" t="s">
        <v>80</v>
      </c>
      <c r="N10" s="37">
        <f>K10*K19</f>
        <v>545.78000000000009</v>
      </c>
      <c r="P10" s="31"/>
    </row>
    <row r="11" spans="1:16" x14ac:dyDescent="0.45">
      <c r="B11" t="s">
        <v>16</v>
      </c>
      <c r="C11" t="s">
        <v>81</v>
      </c>
      <c r="D11" s="24"/>
      <c r="F11" s="34"/>
      <c r="G11" s="35"/>
      <c r="I11" s="35"/>
      <c r="J11" s="31"/>
      <c r="K11" s="41">
        <v>1500</v>
      </c>
      <c r="L11" t="s">
        <v>74</v>
      </c>
      <c r="N11" s="37"/>
      <c r="P11" s="31"/>
    </row>
    <row r="12" spans="1:16" x14ac:dyDescent="0.45">
      <c r="B12" t="s">
        <v>16</v>
      </c>
      <c r="C12" t="s">
        <v>82</v>
      </c>
      <c r="D12" s="24"/>
      <c r="F12" s="34"/>
      <c r="G12" s="35"/>
      <c r="I12" s="35"/>
      <c r="J12" s="31"/>
      <c r="K12" s="41">
        <v>500</v>
      </c>
      <c r="L12" t="s">
        <v>74</v>
      </c>
      <c r="N12" s="37"/>
      <c r="P12" s="31"/>
    </row>
    <row r="13" spans="1:16" x14ac:dyDescent="0.45">
      <c r="B13" t="s">
        <v>16</v>
      </c>
      <c r="C13" t="s">
        <v>83</v>
      </c>
      <c r="D13" s="24"/>
      <c r="F13" s="34"/>
      <c r="G13" s="35"/>
      <c r="I13" s="35"/>
      <c r="J13" s="31"/>
      <c r="K13" s="40">
        <f>ROUND(K11*K12/1000000,2)</f>
        <v>0.75</v>
      </c>
      <c r="L13" t="s">
        <v>75</v>
      </c>
      <c r="N13" s="37"/>
      <c r="P13" s="31"/>
    </row>
    <row r="14" spans="1:16" x14ac:dyDescent="0.45">
      <c r="B14" t="s">
        <v>84</v>
      </c>
      <c r="C14" t="s">
        <v>85</v>
      </c>
      <c r="D14" s="24"/>
      <c r="F14" s="34"/>
      <c r="G14" s="35"/>
      <c r="H14" s="42">
        <f t="shared" ref="H14:H54" si="0">K14</f>
        <v>4000</v>
      </c>
      <c r="I14" s="35"/>
      <c r="J14" s="31"/>
      <c r="K14" s="43">
        <v>4000</v>
      </c>
      <c r="L14" t="s">
        <v>76</v>
      </c>
      <c r="M14" s="3" t="s">
        <v>80</v>
      </c>
      <c r="N14" s="37">
        <f>K14</f>
        <v>4000</v>
      </c>
      <c r="P14" s="31"/>
    </row>
    <row r="15" spans="1:16" x14ac:dyDescent="0.45">
      <c r="B15" t="s">
        <v>16</v>
      </c>
      <c r="C15" t="s">
        <v>86</v>
      </c>
      <c r="D15" s="24"/>
      <c r="F15" s="34"/>
      <c r="G15" s="35"/>
      <c r="I15" s="35"/>
      <c r="J15" s="31"/>
      <c r="K15" s="41">
        <v>2500</v>
      </c>
      <c r="L15" t="s">
        <v>74</v>
      </c>
      <c r="N15" s="37"/>
      <c r="P15" s="31"/>
    </row>
    <row r="16" spans="1:16" x14ac:dyDescent="0.45">
      <c r="B16" t="s">
        <v>16</v>
      </c>
      <c r="C16" t="s">
        <v>87</v>
      </c>
      <c r="D16" s="24"/>
      <c r="F16" s="34"/>
      <c r="G16" s="35"/>
      <c r="I16" s="35"/>
      <c r="J16" s="31"/>
      <c r="K16" s="41">
        <v>1100</v>
      </c>
      <c r="L16" t="s">
        <v>74</v>
      </c>
      <c r="N16" s="37"/>
      <c r="P16" s="31"/>
    </row>
    <row r="17" spans="2:16" x14ac:dyDescent="0.45">
      <c r="B17" t="s">
        <v>16</v>
      </c>
      <c r="C17" t="s">
        <v>88</v>
      </c>
      <c r="D17" s="24"/>
      <c r="F17" s="34"/>
      <c r="G17" s="35"/>
      <c r="I17" s="35"/>
      <c r="J17" s="31"/>
      <c r="K17" s="40">
        <f>ROUND(K15*K16/1000000,2)</f>
        <v>2.75</v>
      </c>
      <c r="L17" t="s">
        <v>75</v>
      </c>
      <c r="N17" s="37"/>
      <c r="P17" s="31"/>
    </row>
    <row r="18" spans="2:16" x14ac:dyDescent="0.45">
      <c r="B18" t="s">
        <v>84</v>
      </c>
      <c r="C18" t="s">
        <v>89</v>
      </c>
      <c r="D18" s="24"/>
      <c r="F18" s="34"/>
      <c r="G18" s="35"/>
      <c r="I18" s="35"/>
      <c r="J18" s="31"/>
      <c r="K18" s="42">
        <v>5882</v>
      </c>
      <c r="L18" t="s">
        <v>76</v>
      </c>
      <c r="N18" s="37"/>
      <c r="P18" s="31"/>
    </row>
    <row r="19" spans="2:16" x14ac:dyDescent="0.45">
      <c r="B19" t="s">
        <v>84</v>
      </c>
      <c r="C19" t="s">
        <v>90</v>
      </c>
      <c r="D19" s="24"/>
      <c r="F19" s="34"/>
      <c r="G19" s="35"/>
      <c r="H19" s="40">
        <f t="shared" si="0"/>
        <v>941</v>
      </c>
      <c r="I19" s="35"/>
      <c r="J19" s="31"/>
      <c r="K19" s="44">
        <f>(K18-K14)/(K17-K13)</f>
        <v>941</v>
      </c>
      <c r="L19" t="s">
        <v>77</v>
      </c>
      <c r="N19" s="37"/>
      <c r="P19" s="31"/>
    </row>
    <row r="20" spans="2:16" x14ac:dyDescent="0.45">
      <c r="D20" s="24"/>
      <c r="F20" s="34"/>
      <c r="G20" s="35"/>
      <c r="H20" s="36" t="s">
        <v>91</v>
      </c>
      <c r="I20" s="35"/>
      <c r="J20" s="31"/>
      <c r="N20" s="37"/>
      <c r="P20" s="31"/>
    </row>
    <row r="21" spans="2:16" x14ac:dyDescent="0.45">
      <c r="B21" t="s">
        <v>20</v>
      </c>
      <c r="C21" t="s">
        <v>21</v>
      </c>
      <c r="D21" s="24"/>
      <c r="E21" s="38">
        <v>1</v>
      </c>
      <c r="F21" s="34"/>
      <c r="G21" s="35"/>
      <c r="I21" s="35"/>
      <c r="J21" s="31"/>
      <c r="K21">
        <v>0</v>
      </c>
      <c r="L21" t="s">
        <v>76</v>
      </c>
      <c r="M21" s="3" t="s">
        <v>92</v>
      </c>
      <c r="N21" s="37">
        <f>K21*E21</f>
        <v>0</v>
      </c>
      <c r="O21" t="s">
        <v>93</v>
      </c>
      <c r="P21" s="31"/>
    </row>
    <row r="22" spans="2:16" x14ac:dyDescent="0.45">
      <c r="B22" t="s">
        <v>20</v>
      </c>
      <c r="C22" t="s">
        <v>23</v>
      </c>
      <c r="D22" s="24"/>
      <c r="E22" s="38"/>
      <c r="F22" s="34"/>
      <c r="G22" s="35"/>
      <c r="H22" s="41">
        <f t="shared" si="0"/>
        <v>20</v>
      </c>
      <c r="I22" s="35"/>
      <c r="J22" s="31"/>
      <c r="K22" s="41">
        <v>20</v>
      </c>
      <c r="L22" t="s">
        <v>76</v>
      </c>
      <c r="M22" s="3" t="s">
        <v>92</v>
      </c>
      <c r="N22" s="37">
        <f t="shared" ref="N22:N32" si="1">K22*E22</f>
        <v>0</v>
      </c>
      <c r="P22" s="31"/>
    </row>
    <row r="23" spans="2:16" x14ac:dyDescent="0.45">
      <c r="B23" t="s">
        <v>20</v>
      </c>
      <c r="C23" t="s">
        <v>24</v>
      </c>
      <c r="D23" s="24"/>
      <c r="E23" s="38"/>
      <c r="F23" s="34"/>
      <c r="G23" s="35"/>
      <c r="H23" s="41">
        <f t="shared" si="0"/>
        <v>30</v>
      </c>
      <c r="I23" s="35"/>
      <c r="J23" s="31"/>
      <c r="K23" s="41">
        <v>30</v>
      </c>
      <c r="L23" t="s">
        <v>76</v>
      </c>
      <c r="M23" s="3" t="s">
        <v>92</v>
      </c>
      <c r="N23" s="37">
        <f t="shared" si="1"/>
        <v>0</v>
      </c>
      <c r="P23" s="31"/>
    </row>
    <row r="24" spans="2:16" x14ac:dyDescent="0.45">
      <c r="B24" t="s">
        <v>20</v>
      </c>
      <c r="C24" t="s">
        <v>25</v>
      </c>
      <c r="D24" s="24"/>
      <c r="E24" s="38"/>
      <c r="F24" s="34"/>
      <c r="G24" s="35"/>
      <c r="H24" s="41">
        <f t="shared" si="0"/>
        <v>30</v>
      </c>
      <c r="I24" s="35"/>
      <c r="J24" s="31"/>
      <c r="K24" s="41">
        <v>30</v>
      </c>
      <c r="L24" t="s">
        <v>76</v>
      </c>
      <c r="M24" s="3" t="s">
        <v>92</v>
      </c>
      <c r="N24" s="37">
        <f t="shared" si="1"/>
        <v>0</v>
      </c>
      <c r="P24" s="31"/>
    </row>
    <row r="25" spans="2:16" x14ac:dyDescent="0.45">
      <c r="B25" t="s">
        <v>20</v>
      </c>
      <c r="C25" t="s">
        <v>26</v>
      </c>
      <c r="D25" s="24"/>
      <c r="E25" s="38"/>
      <c r="F25" s="34"/>
      <c r="G25" s="35"/>
      <c r="H25" s="41">
        <f t="shared" si="0"/>
        <v>40</v>
      </c>
      <c r="I25" s="35"/>
      <c r="J25" s="31"/>
      <c r="K25" s="41">
        <v>40</v>
      </c>
      <c r="L25" t="s">
        <v>76</v>
      </c>
      <c r="M25" s="3" t="s">
        <v>92</v>
      </c>
      <c r="N25" s="37">
        <f t="shared" si="1"/>
        <v>0</v>
      </c>
      <c r="P25" s="31"/>
    </row>
    <row r="26" spans="2:16" x14ac:dyDescent="0.45">
      <c r="B26" t="s">
        <v>20</v>
      </c>
      <c r="C26" t="s">
        <v>27</v>
      </c>
      <c r="D26" s="24"/>
      <c r="E26" s="38"/>
      <c r="F26" s="34"/>
      <c r="G26" s="35"/>
      <c r="H26" s="41">
        <f t="shared" si="0"/>
        <v>40</v>
      </c>
      <c r="I26" s="35"/>
      <c r="J26" s="31"/>
      <c r="K26" s="41">
        <v>40</v>
      </c>
      <c r="L26" t="s">
        <v>76</v>
      </c>
      <c r="M26" s="3" t="s">
        <v>92</v>
      </c>
      <c r="N26" s="37">
        <f t="shared" si="1"/>
        <v>0</v>
      </c>
      <c r="P26" s="31"/>
    </row>
    <row r="27" spans="2:16" x14ac:dyDescent="0.45">
      <c r="B27" t="s">
        <v>20</v>
      </c>
      <c r="C27" t="s">
        <v>28</v>
      </c>
      <c r="D27" s="24"/>
      <c r="E27" s="38"/>
      <c r="F27" s="34"/>
      <c r="G27" s="35"/>
      <c r="H27" s="41">
        <f t="shared" si="0"/>
        <v>40</v>
      </c>
      <c r="I27" s="35"/>
      <c r="J27" s="31"/>
      <c r="K27" s="41">
        <v>40</v>
      </c>
      <c r="L27" t="s">
        <v>76</v>
      </c>
      <c r="M27" s="3" t="s">
        <v>92</v>
      </c>
      <c r="N27" s="37">
        <f t="shared" si="1"/>
        <v>0</v>
      </c>
      <c r="P27" s="31"/>
    </row>
    <row r="28" spans="2:16" x14ac:dyDescent="0.45">
      <c r="B28" t="s">
        <v>20</v>
      </c>
      <c r="C28" t="s">
        <v>29</v>
      </c>
      <c r="D28" s="24"/>
      <c r="E28" s="38"/>
      <c r="F28" s="34"/>
      <c r="G28" s="35"/>
      <c r="H28" s="41">
        <f t="shared" si="0"/>
        <v>60</v>
      </c>
      <c r="I28" s="35"/>
      <c r="J28" s="31"/>
      <c r="K28" s="41">
        <v>60</v>
      </c>
      <c r="L28" t="s">
        <v>76</v>
      </c>
      <c r="M28" s="3" t="s">
        <v>92</v>
      </c>
      <c r="N28" s="37">
        <f t="shared" si="1"/>
        <v>0</v>
      </c>
      <c r="P28" s="31"/>
    </row>
    <row r="29" spans="2:16" x14ac:dyDescent="0.45">
      <c r="B29" t="s">
        <v>20</v>
      </c>
      <c r="C29" t="s">
        <v>30</v>
      </c>
      <c r="D29" s="24"/>
      <c r="E29" s="38"/>
      <c r="F29" s="34"/>
      <c r="G29" s="35"/>
      <c r="H29" s="41">
        <f t="shared" si="0"/>
        <v>60</v>
      </c>
      <c r="I29" s="35"/>
      <c r="J29" s="31"/>
      <c r="K29" s="41">
        <v>60</v>
      </c>
      <c r="L29" t="s">
        <v>76</v>
      </c>
      <c r="M29" s="3" t="s">
        <v>92</v>
      </c>
      <c r="N29" s="37">
        <f t="shared" si="1"/>
        <v>0</v>
      </c>
      <c r="P29" s="31"/>
    </row>
    <row r="30" spans="2:16" x14ac:dyDescent="0.45">
      <c r="B30" t="s">
        <v>20</v>
      </c>
      <c r="C30" t="s">
        <v>31</v>
      </c>
      <c r="D30" s="24"/>
      <c r="E30" s="38"/>
      <c r="F30" s="34"/>
      <c r="G30" s="35"/>
      <c r="H30" s="41">
        <f t="shared" si="0"/>
        <v>80</v>
      </c>
      <c r="I30" s="35"/>
      <c r="J30" s="31"/>
      <c r="K30" s="41">
        <v>80</v>
      </c>
      <c r="L30" t="s">
        <v>76</v>
      </c>
      <c r="M30" s="3" t="s">
        <v>92</v>
      </c>
      <c r="N30" s="37">
        <f t="shared" si="1"/>
        <v>0</v>
      </c>
      <c r="P30" s="31"/>
    </row>
    <row r="31" spans="2:16" x14ac:dyDescent="0.45">
      <c r="B31" t="s">
        <v>20</v>
      </c>
      <c r="C31" t="s">
        <v>32</v>
      </c>
      <c r="D31" s="24"/>
      <c r="E31" s="38"/>
      <c r="F31" s="34"/>
      <c r="G31" s="35"/>
      <c r="H31" s="41">
        <f t="shared" si="0"/>
        <v>100</v>
      </c>
      <c r="I31" s="35"/>
      <c r="J31" s="31"/>
      <c r="K31" s="41">
        <v>100</v>
      </c>
      <c r="L31" t="s">
        <v>76</v>
      </c>
      <c r="M31" s="3" t="s">
        <v>92</v>
      </c>
      <c r="N31" s="37">
        <f t="shared" si="1"/>
        <v>0</v>
      </c>
      <c r="P31" s="31"/>
    </row>
    <row r="32" spans="2:16" x14ac:dyDescent="0.45">
      <c r="B32" t="s">
        <v>20</v>
      </c>
      <c r="C32" t="s">
        <v>33</v>
      </c>
      <c r="D32" s="24"/>
      <c r="E32" s="38"/>
      <c r="F32" s="34"/>
      <c r="G32" s="35"/>
      <c r="H32" s="41">
        <f t="shared" si="0"/>
        <v>150</v>
      </c>
      <c r="I32" s="35"/>
      <c r="J32" s="31"/>
      <c r="K32" s="41">
        <v>150</v>
      </c>
      <c r="L32" t="s">
        <v>76</v>
      </c>
      <c r="M32" s="3" t="s">
        <v>92</v>
      </c>
      <c r="N32" s="37">
        <f t="shared" si="1"/>
        <v>0</v>
      </c>
      <c r="P32" s="31"/>
    </row>
    <row r="33" spans="2:16" x14ac:dyDescent="0.45">
      <c r="D33" s="24"/>
      <c r="F33" s="34"/>
      <c r="G33" s="35"/>
      <c r="I33" s="35"/>
      <c r="J33" s="31"/>
      <c r="N33" s="37"/>
      <c r="P33" s="31"/>
    </row>
    <row r="34" spans="2:16" x14ac:dyDescent="0.45">
      <c r="B34" t="s">
        <v>34</v>
      </c>
      <c r="C34" t="s">
        <v>35</v>
      </c>
      <c r="D34" s="24"/>
      <c r="E34" s="38">
        <v>1</v>
      </c>
      <c r="F34" s="34"/>
      <c r="G34" s="35"/>
      <c r="I34" s="35"/>
      <c r="J34" s="31"/>
      <c r="K34">
        <v>0</v>
      </c>
      <c r="L34" t="s">
        <v>76</v>
      </c>
      <c r="M34" s="3" t="s">
        <v>92</v>
      </c>
      <c r="N34" s="37">
        <v>0</v>
      </c>
      <c r="P34" s="31"/>
    </row>
    <row r="35" spans="2:16" x14ac:dyDescent="0.45">
      <c r="B35" t="s">
        <v>34</v>
      </c>
      <c r="C35" t="s">
        <v>36</v>
      </c>
      <c r="D35" s="24"/>
      <c r="E35" s="38"/>
      <c r="F35" s="34"/>
      <c r="G35" s="35"/>
      <c r="H35" s="41">
        <f t="shared" si="0"/>
        <v>150</v>
      </c>
      <c r="I35" s="35"/>
      <c r="J35" s="31"/>
      <c r="K35" s="41">
        <v>150</v>
      </c>
      <c r="L35" t="s">
        <v>77</v>
      </c>
      <c r="M35" s="3" t="s">
        <v>92</v>
      </c>
      <c r="N35" s="37">
        <f>K9*K35*E35</f>
        <v>0</v>
      </c>
      <c r="O35" t="s">
        <v>94</v>
      </c>
      <c r="P35" s="31"/>
    </row>
    <row r="36" spans="2:16" x14ac:dyDescent="0.45">
      <c r="B36" t="s">
        <v>34</v>
      </c>
      <c r="C36" t="s">
        <v>37</v>
      </c>
      <c r="D36" s="24"/>
      <c r="E36" s="38"/>
      <c r="F36" s="34"/>
      <c r="G36" s="35"/>
      <c r="H36" s="41">
        <f t="shared" si="0"/>
        <v>150</v>
      </c>
      <c r="I36" s="35"/>
      <c r="J36" s="31"/>
      <c r="K36" s="41">
        <v>150</v>
      </c>
      <c r="L36" t="s">
        <v>77</v>
      </c>
      <c r="M36" s="3" t="s">
        <v>92</v>
      </c>
      <c r="N36" s="37">
        <f>K10*K36*E36</f>
        <v>0</v>
      </c>
      <c r="O36" t="s">
        <v>94</v>
      </c>
      <c r="P36" s="31"/>
    </row>
    <row r="37" spans="2:16" x14ac:dyDescent="0.45">
      <c r="B37" t="s">
        <v>34</v>
      </c>
      <c r="C37" t="s">
        <v>38</v>
      </c>
      <c r="D37" s="24"/>
      <c r="E37" s="38"/>
      <c r="F37" s="34"/>
      <c r="G37" s="35"/>
      <c r="H37" s="41">
        <f t="shared" si="0"/>
        <v>150</v>
      </c>
      <c r="I37" s="35"/>
      <c r="J37" s="31"/>
      <c r="K37" s="41">
        <v>150</v>
      </c>
      <c r="L37" t="s">
        <v>77</v>
      </c>
      <c r="M37" s="3" t="s">
        <v>92</v>
      </c>
      <c r="N37" s="37">
        <f>K11*K37*E37</f>
        <v>0</v>
      </c>
      <c r="O37" t="s">
        <v>94</v>
      </c>
      <c r="P37" s="31"/>
    </row>
    <row r="38" spans="2:16" x14ac:dyDescent="0.45">
      <c r="B38" t="s">
        <v>34</v>
      </c>
      <c r="C38" t="s">
        <v>39</v>
      </c>
      <c r="D38" s="24"/>
      <c r="E38" s="38"/>
      <c r="F38" s="34"/>
      <c r="G38" s="35"/>
      <c r="I38" s="35"/>
      <c r="J38" s="31"/>
      <c r="K38" s="45"/>
      <c r="L38" s="45"/>
      <c r="N38" s="46"/>
      <c r="O38" t="s">
        <v>95</v>
      </c>
      <c r="P38" s="31"/>
    </row>
    <row r="39" spans="2:16" x14ac:dyDescent="0.45">
      <c r="D39" s="24"/>
      <c r="F39" s="34"/>
      <c r="G39" s="35"/>
      <c r="I39" s="35"/>
      <c r="J39" s="31"/>
      <c r="N39" s="37"/>
      <c r="P39" s="31"/>
    </row>
    <row r="40" spans="2:16" x14ac:dyDescent="0.45">
      <c r="B40" t="s">
        <v>40</v>
      </c>
      <c r="C40" t="s">
        <v>41</v>
      </c>
      <c r="D40" s="24"/>
      <c r="E40" s="38"/>
      <c r="F40" s="34"/>
      <c r="G40" s="35"/>
      <c r="I40" s="35"/>
      <c r="J40" s="31"/>
      <c r="K40">
        <v>0</v>
      </c>
      <c r="M40" s="3" t="s">
        <v>96</v>
      </c>
      <c r="N40" s="37">
        <f>E40*K40*$N$10</f>
        <v>0</v>
      </c>
      <c r="P40" s="31"/>
    </row>
    <row r="41" spans="2:16" x14ac:dyDescent="0.45">
      <c r="B41" t="s">
        <v>40</v>
      </c>
      <c r="C41" t="s">
        <v>42</v>
      </c>
      <c r="D41" s="24"/>
      <c r="E41" s="38">
        <v>1</v>
      </c>
      <c r="F41" s="34"/>
      <c r="G41" s="35"/>
      <c r="H41" s="41">
        <f t="shared" si="0"/>
        <v>0.01</v>
      </c>
      <c r="I41" s="35"/>
      <c r="J41" s="31"/>
      <c r="K41" s="41">
        <v>0.01</v>
      </c>
      <c r="M41" s="3" t="s">
        <v>96</v>
      </c>
      <c r="N41" s="37">
        <f>E41*K41*$N$10</f>
        <v>5.4578000000000007</v>
      </c>
      <c r="O41" t="s">
        <v>97</v>
      </c>
      <c r="P41" s="31"/>
    </row>
    <row r="42" spans="2:16" x14ac:dyDescent="0.45">
      <c r="D42" s="24"/>
      <c r="F42" s="34"/>
      <c r="G42" s="35"/>
      <c r="I42" s="35"/>
      <c r="J42" s="31"/>
      <c r="N42" s="37"/>
      <c r="P42" s="31"/>
    </row>
    <row r="43" spans="2:16" x14ac:dyDescent="0.45">
      <c r="B43" t="s">
        <v>43</v>
      </c>
      <c r="C43" t="s">
        <v>44</v>
      </c>
      <c r="D43" s="24"/>
      <c r="E43" s="38">
        <v>1</v>
      </c>
      <c r="F43" s="34"/>
      <c r="G43" s="35"/>
      <c r="I43" s="35"/>
      <c r="J43" s="31"/>
      <c r="K43" t="s">
        <v>98</v>
      </c>
      <c r="L43" t="s">
        <v>98</v>
      </c>
      <c r="N43" s="37">
        <v>0</v>
      </c>
      <c r="P43" s="31"/>
    </row>
    <row r="44" spans="2:16" x14ac:dyDescent="0.45">
      <c r="B44" t="s">
        <v>43</v>
      </c>
      <c r="C44" t="s">
        <v>45</v>
      </c>
      <c r="D44" s="24"/>
      <c r="E44" s="38"/>
      <c r="F44" s="34"/>
      <c r="G44" s="35"/>
      <c r="I44" s="35"/>
      <c r="J44" s="31"/>
      <c r="K44" t="s">
        <v>98</v>
      </c>
      <c r="L44" t="s">
        <v>98</v>
      </c>
      <c r="N44" s="37">
        <v>0</v>
      </c>
      <c r="P44" s="31"/>
    </row>
    <row r="45" spans="2:16" x14ac:dyDescent="0.45">
      <c r="D45" s="24"/>
      <c r="F45" s="34"/>
      <c r="G45" s="35"/>
      <c r="I45" s="35"/>
      <c r="J45" s="31"/>
      <c r="N45" s="37"/>
      <c r="P45" s="31"/>
    </row>
    <row r="46" spans="2:16" x14ac:dyDescent="0.45">
      <c r="B46" t="s">
        <v>46</v>
      </c>
      <c r="C46" t="s">
        <v>47</v>
      </c>
      <c r="D46" s="24"/>
      <c r="E46" s="38">
        <v>1</v>
      </c>
      <c r="F46" s="34"/>
      <c r="G46" s="35"/>
      <c r="I46" s="35"/>
      <c r="J46" s="31"/>
      <c r="N46" s="37">
        <v>0</v>
      </c>
      <c r="O46" t="s">
        <v>93</v>
      </c>
      <c r="P46" s="31"/>
    </row>
    <row r="47" spans="2:16" x14ac:dyDescent="0.45">
      <c r="B47" t="s">
        <v>46</v>
      </c>
      <c r="C47" t="s">
        <v>48</v>
      </c>
      <c r="D47" s="24"/>
      <c r="E47" s="38"/>
      <c r="F47" s="34"/>
      <c r="G47" s="35"/>
      <c r="H47" s="41">
        <f t="shared" si="0"/>
        <v>80</v>
      </c>
      <c r="I47" s="35"/>
      <c r="J47" s="31"/>
      <c r="K47" s="41">
        <v>80</v>
      </c>
      <c r="L47" t="s">
        <v>76</v>
      </c>
      <c r="M47" s="3" t="s">
        <v>92</v>
      </c>
      <c r="N47" s="37">
        <f t="shared" ref="N47:N50" si="2">K47*E47</f>
        <v>0</v>
      </c>
      <c r="P47" s="31"/>
    </row>
    <row r="48" spans="2:16" x14ac:dyDescent="0.45">
      <c r="B48" t="s">
        <v>46</v>
      </c>
      <c r="C48" t="s">
        <v>49</v>
      </c>
      <c r="D48" s="24"/>
      <c r="E48" s="38"/>
      <c r="F48" s="34"/>
      <c r="G48" s="35"/>
      <c r="H48" s="41">
        <f t="shared" si="0"/>
        <v>100</v>
      </c>
      <c r="I48" s="35"/>
      <c r="J48" s="31"/>
      <c r="K48" s="41">
        <v>100</v>
      </c>
      <c r="L48" t="s">
        <v>76</v>
      </c>
      <c r="M48" s="3" t="s">
        <v>92</v>
      </c>
      <c r="N48" s="37">
        <f t="shared" si="2"/>
        <v>0</v>
      </c>
      <c r="P48" s="31"/>
    </row>
    <row r="49" spans="2:16" x14ac:dyDescent="0.45">
      <c r="B49" t="s">
        <v>46</v>
      </c>
      <c r="C49" t="s">
        <v>50</v>
      </c>
      <c r="D49" s="24"/>
      <c r="E49" s="38"/>
      <c r="F49" s="34"/>
      <c r="G49" s="35"/>
      <c r="H49" s="41">
        <f t="shared" si="0"/>
        <v>200</v>
      </c>
      <c r="I49" s="35"/>
      <c r="J49" s="31"/>
      <c r="K49" s="41">
        <v>200</v>
      </c>
      <c r="L49" t="s">
        <v>76</v>
      </c>
      <c r="M49" s="3" t="s">
        <v>92</v>
      </c>
      <c r="N49" s="37">
        <f t="shared" si="2"/>
        <v>0</v>
      </c>
      <c r="P49" s="31"/>
    </row>
    <row r="50" spans="2:16" x14ac:dyDescent="0.45">
      <c r="B50" t="s">
        <v>46</v>
      </c>
      <c r="C50" t="s">
        <v>51</v>
      </c>
      <c r="D50" s="24"/>
      <c r="E50" s="38"/>
      <c r="F50" s="34"/>
      <c r="G50" s="35"/>
      <c r="H50" s="41">
        <f t="shared" si="0"/>
        <v>200</v>
      </c>
      <c r="I50" s="35"/>
      <c r="J50" s="31"/>
      <c r="K50" s="41">
        <v>200</v>
      </c>
      <c r="L50" t="s">
        <v>76</v>
      </c>
      <c r="M50" s="3" t="s">
        <v>92</v>
      </c>
      <c r="N50" s="37">
        <f t="shared" si="2"/>
        <v>0</v>
      </c>
      <c r="P50" s="31"/>
    </row>
    <row r="51" spans="2:16" x14ac:dyDescent="0.45">
      <c r="B51" t="s">
        <v>46</v>
      </c>
      <c r="C51" t="s">
        <v>52</v>
      </c>
      <c r="D51" s="24"/>
      <c r="E51" s="38"/>
      <c r="F51" s="34"/>
      <c r="G51" s="35"/>
      <c r="I51" s="35"/>
      <c r="J51" s="31"/>
      <c r="K51" s="45"/>
      <c r="L51" s="45"/>
      <c r="N51" s="46"/>
      <c r="O51" t="s">
        <v>95</v>
      </c>
      <c r="P51" s="31"/>
    </row>
    <row r="52" spans="2:16" x14ac:dyDescent="0.45">
      <c r="D52" s="24"/>
      <c r="F52" s="34"/>
      <c r="G52" s="35"/>
      <c r="I52" s="35"/>
      <c r="J52" s="31"/>
      <c r="N52" s="37"/>
      <c r="P52" s="31"/>
    </row>
    <row r="53" spans="2:16" x14ac:dyDescent="0.45">
      <c r="B53" t="s">
        <v>53</v>
      </c>
      <c r="C53" t="s">
        <v>54</v>
      </c>
      <c r="D53" s="24"/>
      <c r="E53" s="38">
        <v>1</v>
      </c>
      <c r="F53" s="34"/>
      <c r="G53" s="35"/>
      <c r="I53" s="35"/>
      <c r="J53" s="31"/>
      <c r="K53" t="s">
        <v>98</v>
      </c>
      <c r="L53" t="s">
        <v>98</v>
      </c>
      <c r="N53" s="37">
        <v>0</v>
      </c>
      <c r="O53" t="s">
        <v>93</v>
      </c>
      <c r="P53" s="31"/>
    </row>
    <row r="54" spans="2:16" x14ac:dyDescent="0.45">
      <c r="B54" t="s">
        <v>53</v>
      </c>
      <c r="C54" t="s">
        <v>55</v>
      </c>
      <c r="D54" s="24"/>
      <c r="E54" s="38"/>
      <c r="F54" s="34"/>
      <c r="G54" s="35"/>
      <c r="H54" s="41">
        <f t="shared" si="0"/>
        <v>200</v>
      </c>
      <c r="I54" s="35"/>
      <c r="J54" s="31"/>
      <c r="K54" s="47">
        <v>200</v>
      </c>
      <c r="L54" t="s">
        <v>76</v>
      </c>
      <c r="M54" s="3" t="s">
        <v>92</v>
      </c>
      <c r="N54" s="37">
        <f>E54*K54</f>
        <v>0</v>
      </c>
      <c r="P54" s="31"/>
    </row>
    <row r="55" spans="2:16" x14ac:dyDescent="0.45">
      <c r="B55" t="s">
        <v>53</v>
      </c>
      <c r="C55" t="s">
        <v>52</v>
      </c>
      <c r="D55" s="24"/>
      <c r="E55" s="38"/>
      <c r="F55" s="34"/>
      <c r="G55" s="35"/>
      <c r="I55" s="35"/>
      <c r="J55" s="31"/>
      <c r="K55" s="45"/>
      <c r="L55" s="45"/>
      <c r="N55" s="48"/>
      <c r="O55" t="s">
        <v>95</v>
      </c>
      <c r="P55" s="31"/>
    </row>
    <row r="56" spans="2:16" x14ac:dyDescent="0.45">
      <c r="D56" s="24"/>
      <c r="F56" s="34"/>
      <c r="G56" s="35"/>
      <c r="I56" s="35"/>
      <c r="J56" s="31"/>
      <c r="N56" s="37"/>
      <c r="P56" s="31"/>
    </row>
    <row r="57" spans="2:16" x14ac:dyDescent="0.45">
      <c r="B57" t="s">
        <v>56</v>
      </c>
      <c r="C57" t="s">
        <v>99</v>
      </c>
      <c r="D57" s="24"/>
      <c r="E57" s="38">
        <v>1</v>
      </c>
      <c r="F57" s="34"/>
      <c r="G57" s="35"/>
      <c r="I57" s="35"/>
      <c r="J57" s="31"/>
      <c r="K57" s="39">
        <f>SUM(N7:N56)</f>
        <v>4551.2377999999999</v>
      </c>
      <c r="L57" t="s">
        <v>76</v>
      </c>
      <c r="M57" s="3" t="s">
        <v>96</v>
      </c>
      <c r="N57" s="37">
        <f>K57*E57</f>
        <v>4551.2377999999999</v>
      </c>
      <c r="P57" s="31"/>
    </row>
    <row r="58" spans="2:16" x14ac:dyDescent="0.45">
      <c r="D58" s="24"/>
      <c r="E58" s="33"/>
      <c r="F58" s="34"/>
      <c r="G58" s="35"/>
      <c r="H58" s="35"/>
      <c r="I58" s="35"/>
      <c r="J58" s="31"/>
      <c r="K58" s="31"/>
      <c r="L58" s="31"/>
      <c r="M58" s="32"/>
      <c r="N58" s="31"/>
      <c r="O58" s="31"/>
      <c r="P58" s="31"/>
    </row>
    <row r="60" spans="2:16" x14ac:dyDescent="0.45">
      <c r="B60" s="49" t="s">
        <v>100</v>
      </c>
    </row>
  </sheetData>
  <conditionalFormatting sqref="N2">
    <cfRule type="expression" dxfId="1" priority="1">
      <formula>SUM(E38,E51,E55)&gt;0</formula>
    </cfRule>
  </conditionalFormatting>
  <dataValidations count="2">
    <dataValidation type="whole" allowBlank="1" showInputMessage="1" showErrorMessage="1" error="Popraw szerokość" sqref="E8" xr:uid="{38C78F18-9F02-4F0B-9C09-2CDCABB21F9C}">
      <formula1>K12</formula1>
      <formula2>K16</formula2>
    </dataValidation>
    <dataValidation type="whole" allowBlank="1" showInputMessage="1" showErrorMessage="1" sqref="E7" xr:uid="{A8EF7474-5A72-4D03-876E-47CAFAE59877}">
      <formula1>K11</formula1>
      <formula2>K15</formula2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6D4180D76864F47B1223E37C4080A62" ma:contentTypeVersion="3" ma:contentTypeDescription="Utwórz nowy dokument." ma:contentTypeScope="" ma:versionID="7a8103ad473d388fd9e2fa2063b01ac7">
  <xsd:schema xmlns:xsd="http://www.w3.org/2001/XMLSchema" xmlns:xs="http://www.w3.org/2001/XMLSchema" xmlns:p="http://schemas.microsoft.com/office/2006/metadata/properties" xmlns:ns2="cd584998-1ce3-49d0-90ad-8743feb499ce" targetNamespace="http://schemas.microsoft.com/office/2006/metadata/properties" ma:root="true" ma:fieldsID="c16ee5d056767db86d8fe0eaa385d337" ns2:_="">
    <xsd:import namespace="cd584998-1ce3-49d0-90ad-8743feb499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84998-1ce3-49d0-90ad-8743feb499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F84EE8-FA3E-4B63-82D1-45D70FFF64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C78775-E78A-4167-B51A-4C34CE7AD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84998-1ce3-49d0-90ad-8743feb499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C8D4B0-6DA5-4710-BD6B-7B1FE0FCF8D8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cd584998-1ce3-49d0-90ad-8743feb499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Kombinacje</vt:lpstr>
      <vt:lpstr>Kalkulator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Czyż</dc:creator>
  <cp:lastModifiedBy>Daniel Czyż</cp:lastModifiedBy>
  <dcterms:created xsi:type="dcterms:W3CDTF">2025-12-17T11:11:40Z</dcterms:created>
  <dcterms:modified xsi:type="dcterms:W3CDTF">2025-12-17T11:29:57Z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0x01010096D4180D76864F47B1223E37C4080A62</vt:lpwstr>
  </property>
</Properties>
</file>